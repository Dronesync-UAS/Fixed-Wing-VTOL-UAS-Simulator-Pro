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rcraft Specs" sheetId="1" state="visible" r:id="rId3"/>
    <sheet name="Components &amp; BOM" sheetId="2" state="visible" r:id="rId4"/>
    <sheet name="Motor Positions" sheetId="3" state="visible" r:id="rId5"/>
    <sheet name="CG - Tattu 16Ah (ACTIVE)" sheetId="4" state="visible" r:id="rId6"/>
    <sheet name="CG - ARES 22Ah (Alt)" sheetId="5" state="visible" r:id="rId7"/>
    <sheet name="Open Items &amp; Conflicts" sheetId="6" state="visible" r:id="rId8"/>
    <sheet name="Legend &amp; How To U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<sst xmlns="http://schemas.openxmlformats.org/spreadsheetml/2006/main" count="400" uniqueCount="231">
  <si>
    <t xml:space="preserve">MFE Fighter 2430mm VTOL — Aircraft Specifications</t>
  </si>
  <si>
    <t xml:space="preserve">Primary source: 3dxr.co.uk (treated as standing source of truth per 07/10/2026 decision). Status key: green = published/confirmed, yellow = estimate, orange = open/unresolved.</t>
  </si>
  <si>
    <t xml:space="preserve">Spec</t>
  </si>
  <si>
    <t xml:space="preserve">Value</t>
  </si>
  <si>
    <t xml:space="preserve">Status</t>
  </si>
  <si>
    <t xml:space="preserve">Source</t>
  </si>
  <si>
    <t xml:space="preserve">Notes</t>
  </si>
  <si>
    <t xml:space="preserve">Link</t>
  </si>
  <si>
    <t xml:space="preserve">Wingspan</t>
  </si>
  <si>
    <t xml:space="preserve">2430 mm</t>
  </si>
  <si>
    <t xml:space="preserve">real</t>
  </si>
  <si>
    <t xml:space="preserve">3dxr.co.uk</t>
  </si>
  <si>
    <t xml:space="preserve">Product page</t>
  </si>
  <si>
    <t xml:space="preserve">Fuselage length</t>
  </si>
  <si>
    <t xml:space="preserve">1450 mm</t>
  </si>
  <si>
    <t xml:space="preserve">Fuselage height</t>
  </si>
  <si>
    <t xml:space="preserve">180 mm</t>
  </si>
  <si>
    <t xml:space="preserve">Wing area</t>
  </si>
  <si>
    <t xml:space="preserve">72.5 dm²</t>
  </si>
  <si>
    <t xml:space="preserve">Suggested flight speed</t>
  </si>
  <si>
    <t xml:space="preserve">17–20 m/s</t>
  </si>
  <si>
    <t xml:space="preserve">Stalling speed</t>
  </si>
  <si>
    <t xml:space="preserve">10 m/s</t>
  </si>
  <si>
    <t xml:space="preserve">Maximum payload</t>
  </si>
  <si>
    <t xml:space="preserve">1.5 kg</t>
  </si>
  <si>
    <t xml:space="preserve">Confirmed 07/10/2026, resolves earlier 2.5kg conflict</t>
  </si>
  <si>
    <t xml:space="preserve">Payload cabin size</t>
  </si>
  <si>
    <t xml:space="preserve">280 x 160 x 110 mm</t>
  </si>
  <si>
    <t xml:space="preserve">Airframe net weight (shell only)</t>
  </si>
  <si>
    <t xml:space="preserve">2.7 kg/VTOL</t>
  </si>
  <si>
    <t xml:space="preserve">MFE official User Manual V5.0 (2026.03)</t>
  </si>
  <si>
    <t xml:space="preserve">EPO shell + hardware, no motors/ESC/battery/payload — far lower than the backed-out CG-tab residual (~4.2-4.37kg), worth reconciling</t>
  </si>
  <si>
    <t xml:space="preserve">Gross (packaged) weight</t>
  </si>
  <si>
    <t xml:space="preserve">7.7 kg/VTOL</t>
  </si>
  <si>
    <t xml:space="preserve">Shipping weight, not a flight mass figure</t>
  </si>
  <si>
    <t xml:space="preserve">Transport case size</t>
  </si>
  <si>
    <t xml:space="preserve">1.26 x 0.35 x 0.495 m</t>
  </si>
  <si>
    <t xml:space="preserve">Primary materials</t>
  </si>
  <si>
    <t xml:space="preserve">EPO, EVA, carbon fibre, PC, engineering plastics</t>
  </si>
  <si>
    <t xml:space="preserve">Longest flight range</t>
  </si>
  <si>
    <t xml:space="preserve">&gt;150 km (600g load)</t>
  </si>
  <si>
    <t xml:space="preserve">MTOW</t>
  </si>
  <si>
    <t xml:space="preserve">11.5 kg</t>
  </si>
  <si>
    <t xml:space="preserve">3dxr.co.uk + Tony confirmed 07/10/2026</t>
  </si>
  <si>
    <t xml:space="preserve">Resolves earlier 13.5kg conflict</t>
  </si>
  <si>
    <t xml:space="preserve">Practical ceiling</t>
  </si>
  <si>
    <t xml:space="preserve">4000 m</t>
  </si>
  <si>
    <t xml:space="preserve">Wind resistance rating</t>
  </si>
  <si>
    <t xml:space="preserve">5</t>
  </si>
  <si>
    <t xml:space="preserve">Manufacturer's own scale, units not specified</t>
  </si>
  <si>
    <t xml:space="preserve">CG landmark</t>
  </si>
  <si>
    <t xml:space="preserve">Under raised position of fuselage hook / wing root plastic (same position)</t>
  </si>
  <si>
    <t xml:space="preserve">Physical landmark only — no numeric offset published</t>
  </si>
  <si>
    <t xml:space="preserve">CG estimate (from model origin)</t>
  </si>
  <si>
    <t xml:space="preserve">~41.8mm toward nose, X≈0, Z≈−20mm</t>
  </si>
  <si>
    <t xml:space="preserve">estimate</t>
  </si>
  <si>
    <t xml:space="preserve">Calculated — see CG Estimate tab</t>
  </si>
  <si>
    <t xml:space="preserve">Virtual estimate, not measured on real aircraft</t>
  </si>
  <si>
    <t xml:space="preserve">Flight stack</t>
  </si>
  <si>
    <t xml:space="preserve">PX4 v1.15.4, standard_vtol airframe</t>
  </si>
  <si>
    <t xml:space="preserve">Project decision, settled 03/09/2026</t>
  </si>
  <si>
    <t xml:space="preserve">Real aircraft runs ArduPilot/Cube Orange — accepted mismatch</t>
  </si>
  <si>
    <t xml:space="preserve">MFE Fighter — Component Bill of Materials &amp; Weights</t>
  </si>
  <si>
    <t xml:space="preserve">Qty</t>
  </si>
  <si>
    <t xml:space="preserve">Component</t>
  </si>
  <si>
    <t xml:space="preserve">Spec (as listed)</t>
  </si>
  <si>
    <t xml:space="preserve">Unit Weight</t>
  </si>
  <si>
    <t xml:space="preserve">Total Weight (g)</t>
  </si>
  <si>
    <t xml:space="preserve">Forward motor</t>
  </si>
  <si>
    <t xml:space="preserve">MFE 5120S KV190</t>
  </si>
  <si>
    <t xml:space="preserve">MFE official User Manual V5.0 (2026.03), Power Components table</t>
  </si>
  <si>
    <t xml:space="preserve">56.8x43.5mm, 44.4V rated, ~0.38kW running / ~2.15kW max</t>
  </si>
  <si>
    <t xml:space="preserve">View</t>
  </si>
  <si>
    <t xml:space="preserve">Forward ESC</t>
  </si>
  <si>
    <t xml:space="preserve">12S 60A ESC</t>
  </si>
  <si>
    <t xml:space="preserve">3dxr.co.uk product page</t>
  </si>
  <si>
    <t xml:space="preserve">Make Fly Easy Fighter 12S 60A ESC; wiring diagram labels it M3, "ESC 125 60A"</t>
  </si>
  <si>
    <t xml:space="preserve">Lift motor</t>
  </si>
  <si>
    <t xml:space="preserve">MFE 5015S KV220</t>
  </si>
  <si>
    <t xml:space="preserve">MFE official User Manual V5.0 (2026.03) + wiring diagram</t>
  </si>
  <si>
    <t xml:space="preserve">56x32.5mm, 44.4V rated, ~0.37kW running / ~1.74kW max. KV220 confirmed by 2 official sources, outweighing the single KV160 note on the 40A ESC's own page</t>
  </si>
  <si>
    <t xml:space="preserve">Lift ESC</t>
  </si>
  <si>
    <t xml:space="preserve">MFE custom 12S 40A ESC</t>
  </si>
  <si>
    <t xml:space="preserve">Designed for lift motor mounts; wiring diagram labels these A1-A4, "ESC 125 40A". Manual's own power table instead lists a single "MFE1260 12S 100A x2" entry — likely describing 2 ESC *types*, not a literal count; not yet reconciled</t>
  </si>
  <si>
    <t xml:space="preserve">Wiring/connector pack</t>
  </si>
  <si>
    <t xml:space="preserve">Additional wiring and connectors</t>
  </si>
  <si>
    <t xml:space="preserve">unpublished</t>
  </si>
  <si>
    <t xml:space="preserve">—</t>
  </si>
  <si>
    <t xml:space="preserve">unknown</t>
  </si>
  <si>
    <t xml:space="preserve">Not individually weighed; assumed negligible vs airframe residual; no separate 3DXR listing given</t>
  </si>
  <si>
    <t xml:space="preserve">Lift propeller (pair)</t>
  </si>
  <si>
    <t xml:space="preserve">1862 (18x6.2) carbon/wood sandwich</t>
  </si>
  <si>
    <t xml:space="preserve">3dxr.co.uk + MFE official manual (cross-confirmed)</t>
  </si>
  <si>
    <t xml:space="preserve">Weight is per pair (1x CW + 1x CCW) = 39g; 2 pairs = 4 props = 78g total. Manual calls this "18in E&amp;EP", 457mm, same 39g figure</t>
  </si>
  <si>
    <t xml:space="preserve">Forward propeller</t>
  </si>
  <si>
    <t xml:space="preserve">APC 1912 (19x12 thin electric wide)</t>
  </si>
  <si>
    <t xml:space="preserve">Manual calls this "19in E", 482.6mm, qty 2 in the table (spares, or two variants — not yet clarified)</t>
  </si>
  <si>
    <t xml:space="preserve">UBEC</t>
  </si>
  <si>
    <t xml:space="preserve">3-14S 10A 5.3V</t>
  </si>
  <si>
    <t xml:space="preserve">55x33x13mm</t>
  </si>
  <si>
    <t xml:space="preserve">Servo (aileron/tail)</t>
  </si>
  <si>
    <t xml:space="preserve">EMAX ES3054 HV 17g — OR MFE3054 23g, brand not yet confirmed</t>
  </si>
  <si>
    <t xml:space="preserve">real/conflict</t>
  </si>
  <si>
    <t xml:space="preserve">3dxr.co.uk (EMAX, 17g) vs MFE official manual (MFE3054, 23g, 38.4x13x31.1mm)</t>
  </si>
  <si>
    <t xml:space="preserve">Both real weights for same-size servos, different brands. Manual's own MFE3054 is what the kit actually specifies — worth confirming which is fitted before relying on either for CG</t>
  </si>
  <si>
    <t xml:space="preserve">Servo (parachute bay)</t>
  </si>
  <si>
    <t xml:space="preserve">MFE08MD</t>
  </si>
  <si>
    <t xml:space="preserve">23x11.5x24mm — newly identified 6th servo, not previously tracked</t>
  </si>
  <si>
    <t xml:space="preserve">Battery — used for the simulator</t>
  </si>
  <si>
    <t xml:space="preserve">Tattu 30C 16000mAh 6S</t>
  </si>
  <si>
    <t xml:space="preserve">Grepow/Tattu official spec sheet (±20g)</t>
  </si>
  <si>
    <t xml:space="preserve">1974g each, 3948g total. See 'CG - Tattu 16Ah (ACTIVE)' tab</t>
  </si>
  <si>
    <t xml:space="preserve">Battery — alternative (not used for the simulator)</t>
  </si>
  <si>
    <t xml:space="preserve">ARES 22000mAh 6S (Li-ion)</t>
  </si>
  <si>
    <t xml:space="preserve">T-Drones/ARES official spec sheet</t>
  </si>
  <si>
    <t xml:space="preserve">1980g each, 3960g total — almost identical to the Tattu pack above despite 37.5% more capacity, due to Li-ion energy density. See 'CG - ARES 22Ah (Alt)' tab</t>
  </si>
  <si>
    <t xml:space="preserve">Flight controller</t>
  </si>
  <si>
    <t xml:space="preserve">Cube Orange + Mini carrier board</t>
  </si>
  <si>
    <t xml:space="preserve">Wiring schematic (unit clearly labelled "cube orange") + CubePilot official spec</t>
  </si>
  <si>
    <t xml:space="preserve">Resolved 07/10/2026 — a lower-resolution read of the diagram earlier misread this as "V6 Pro"; the clearer image confirms Cube Orange, matching the project's existing records</t>
  </si>
  <si>
    <t xml:space="preserve">Aircraft (airframe kit)</t>
  </si>
  <si>
    <t xml:space="preserve">MFE Fighter 2430mm Wingspan VTOL</t>
  </si>
  <si>
    <t xml:space="preserve">3dxr.co.uk — standing source of truth</t>
  </si>
  <si>
    <t xml:space="preserve">Main product page; all aircraft-level specs on the Aircraft Specs tab come from here</t>
  </si>
  <si>
    <t xml:space="preserve">TOTAL (known components only)</t>
  </si>
  <si>
    <t xml:space="preserve">Note: excludes unpublished-weight items (forward motor, lift motors, forward prop, UBEC, wiring)</t>
  </si>
  <si>
    <t xml:space="preserve">MFE Fighter — Motor Positions (extracted from scale-verified 3D model, 06/10/2026)</t>
  </si>
  <si>
    <t xml:space="preserve">Origin = model's own reference point (not yet shifted to true CG). X = wingspan axis, Y = fuselage length (+Y = nose), Z = height. Not physically measured.</t>
  </si>
  <si>
    <t xml:space="preserve">Motor</t>
  </si>
  <si>
    <t xml:space="preserve">X (mm)</t>
  </si>
  <si>
    <t xml:space="preserve">Y (mm)</t>
  </si>
  <si>
    <t xml:space="preserve">Z (mm)</t>
  </si>
  <si>
    <t xml:space="preserve">Lift — front-left</t>
  </si>
  <si>
    <t xml:space="preserve">real (from CAD)</t>
  </si>
  <si>
    <t xml:space="preserve">Axis sign convention (nose = +Y) needs confirmation against real aircraft</t>
  </si>
  <si>
    <t xml:space="preserve">Lift — front-right</t>
  </si>
  <si>
    <t xml:space="preserve">Lift — rear-left</t>
  </si>
  <si>
    <t xml:space="preserve">Lift — rear-right</t>
  </si>
  <si>
    <t xml:space="preserve">Forward/cruise</t>
  </si>
  <si>
    <t xml:space="preserve">MFE Fighter — CG Estimate: 2x Tattu 30C 16000mAh 6S (USED FOR THE SIMULATOR)</t>
  </si>
  <si>
    <t xml:space="preserve">NOT a measured value. Edit yellow cells to recompute — CG updates automatically. Replace with real measurements once the aircraft is physically accessible.</t>
  </si>
  <si>
    <t xml:space="preserve">Autopilot confirmed Cube Orange (07/10/2026) via the wiring schematic's own label — earlier "V6 Pro" reading from a lower-resolution image was a misread, now corrected.</t>
  </si>
  <si>
    <t xml:space="preserve">Mass (kg)</t>
  </si>
  <si>
    <t xml:space="preserve">Y position (mm)</t>
  </si>
  <si>
    <t xml:space="preserve">Mass x Y</t>
  </si>
  <si>
    <t xml:space="preserve">Basis</t>
  </si>
  <si>
    <t xml:space="preserve">Battery (2x Tattu 30C 16000mAh 6S)</t>
  </si>
  <si>
    <t xml:space="preserve">1974g each (Grepow/Tattu official spec sheet, ±20g) x2 = 3948g. Position per Tony's confirmation (nose)</t>
  </si>
  <si>
    <t xml:space="preserve">Autopilot (Cube Orange + Mini carrier board)</t>
  </si>
  <si>
    <t xml:space="preserve">53g, per CubePilot's own published spec (confirmed via wiring schematic: unit is labelled "cube orange"). Central placement assumed</t>
  </si>
  <si>
    <t xml:space="preserve">Forward motor + ESC + prop</t>
  </si>
  <si>
    <t xml:space="preserve">Motor 324g (manual) + ESC 85g (3DXR) + prop 83g (manual) — all real weights</t>
  </si>
  <si>
    <t xml:space="preserve">Lift arm — front-left (motor+ESC+prop)</t>
  </si>
  <si>
    <t xml:space="preserve">Motor 221g (manual) + ESC 53g (3DXR) + prop ~19.5g (half of 39g pair, 3DXR/manual cross-confirmed)</t>
  </si>
  <si>
    <t xml:space="preserve">Lift arm — front-right (motor+ESC+prop)</t>
  </si>
  <si>
    <t xml:space="preserve">Same basis as front-left</t>
  </si>
  <si>
    <t xml:space="preserve">Lift arm — rear-left (motor+ESC+prop)</t>
  </si>
  <si>
    <t xml:space="preserve">Lift arm — rear-right (motor+ESC+prop)</t>
  </si>
  <si>
    <t xml:space="preserve">Servos (5x aileron/tail + 1x parachute)</t>
  </si>
  <si>
    <t xml:space="preserve">85g (5x, brand unconfirmed — EMAX 17g or MFE 23g) + 12g (parachute servo, MFE08MD) = 97g. Position = airframe centroid</t>
  </si>
  <si>
    <t xml:space="preserve">57g (manual); position assumed central, not yet pinpointed</t>
  </si>
  <si>
    <t xml:space="preserve">Airframe structure (residual)</t>
  </si>
  <si>
    <t xml:space="preserve">Backed out: total mass minus everything else above. Manual states airframe shell alone is 2.7kg — compare the residual below against that as a sanity check</t>
  </si>
  <si>
    <t xml:space="preserve">TOTAL / WEIGHTED CG</t>
  </si>
  <si>
    <t xml:space="preserve">CG offset, Y-axis (mm from model origin)</t>
  </si>
  <si>
    <t xml:space="preserve">Positive = toward nose. X assumed ≈0 by symmetry. Z not modelled in this tab.</t>
  </si>
  <si>
    <t xml:space="preserve">Airframe-shell sanity check: manual says 2.7kg — compare against the residual row above.</t>
  </si>
  <si>
    <t xml:space="preserve">MFE Fighter — CG Estimate: 2x ARES 22000mAh 6S Li-ion (ALTERNATIVE, not used for the simulator)</t>
  </si>
  <si>
    <t xml:space="preserve">NOT a measured value. Alternative battery scenario for comparison only — the simulator uses the Tattu 16Ah tab.</t>
  </si>
  <si>
    <t xml:space="preserve">Autopilot confirmed Cube Orange (07/10/2026) via the wiring schematic's own label.</t>
  </si>
  <si>
    <t xml:space="preserve">Battery (2x ARES 22000mAh 6S, Li-ion)</t>
  </si>
  <si>
    <t xml:space="preserve">1980g each (T-Drones/ARES official spec) x2 = 3960g. Despite 37.5% more capacity than the Tattu pack, Li-ion's higher energy density keeps total weight almost identical. Position per Tony's confirmation (nose)</t>
  </si>
  <si>
    <t xml:space="preserve">MFE Fighter — Open Items, Conflicts &amp; Data Gaps</t>
  </si>
  <si>
    <t xml:space="preserve">Item</t>
  </si>
  <si>
    <t xml:space="preserve">Conflict / Gap</t>
  </si>
  <si>
    <t xml:space="preserve">Resolution / Next Step</t>
  </si>
  <si>
    <t xml:space="preserve">Date Logged</t>
  </si>
  <si>
    <t xml:space="preserve">Lift motor KV rating</t>
  </si>
  <si>
    <t xml:space="preserve">ESC page says optimized for KV160; manual table AND wiring diagram both say KV220</t>
  </si>
  <si>
    <t xml:space="preserve">mostly resolved</t>
  </si>
  <si>
    <t xml:space="preserve">2 official sources now agree on KV220 vs 1 on KV160 — treat KV220 as correct unless contradicted again</t>
  </si>
  <si>
    <t xml:space="preserve">07/10/2026</t>
  </si>
  <si>
    <t xml:space="preserve">Lift motor weight (MFE 5015S)</t>
  </si>
  <si>
    <t xml:space="preserve">Resolved: 221g each, per MFE official User Manual V5.0 Power Components table</t>
  </si>
  <si>
    <t xml:space="preserve">resolved</t>
  </si>
  <si>
    <t xml:space="preserve">No further action needed</t>
  </si>
  <si>
    <t xml:space="preserve">Forward motor weight (MFE 5120S)</t>
  </si>
  <si>
    <t xml:space="preserve">Resolved: 324g, per MFE official User Manual V5.0 Power Components table</t>
  </si>
  <si>
    <t xml:space="preserve">Forward prop weight (APC 1912)</t>
  </si>
  <si>
    <t xml:space="preserve">Resolved: 83g, per MFE official manual (listed as "19in E")</t>
  </si>
  <si>
    <t xml:space="preserve">UBEC weight</t>
  </si>
  <si>
    <t xml:space="preserve">Resolved: 57g, per MFE official manual</t>
  </si>
  <si>
    <t xml:space="preserve">Battery scenario</t>
  </si>
  <si>
    <t xml:space="preserve">Resolved: two CG tabs now exist — 2x Tattu 30C 16000mAh 6S (ACTIVE, used for the simulator) and 2x ARES 22000mAh 6S Li-ion (alternative, for comparison)</t>
  </si>
  <si>
    <t xml:space="preserve">No further action needed unless the real aircraft's actual fitted battery differs from both</t>
  </si>
  <si>
    <t xml:space="preserve">Flight controller identity</t>
  </si>
  <si>
    <t xml:space="preserve">Resolved: a clearer wiring schematic confirms "cube orange" — the earlier "V6 Pro" reading was a misread of a lower-resolution image</t>
  </si>
  <si>
    <t xml:space="preserve">Lift ESC count/labelling</t>
  </si>
  <si>
    <t xml:space="preserve">3DXR + wiring diagram show 4x individual 40A ESCs (A1-A4); the manual's own power table lists one "MFE1260 12S 100A x2" entry instead</t>
  </si>
  <si>
    <t xml:space="preserve">open</t>
  </si>
  <si>
    <t xml:space="preserve">Likely the manual's table counts ESC *types*, not physical units — worth a quick confirmation, not urgent</t>
  </si>
  <si>
    <t xml:space="preserve">Servo brand/weight — aileron/tail</t>
  </si>
  <si>
    <t xml:space="preserve">3DXR sells EMAX ES3054 (17g); MFE's own manual specifies MFE3054 (23g) for the same slot</t>
  </si>
  <si>
    <t xml:space="preserve">Confirm which brand is actually fitted before treating either weight as final</t>
  </si>
  <si>
    <t xml:space="preserve">Parachute servo (MFE08MD)</t>
  </si>
  <si>
    <t xml:space="preserve">Newly identified from the manual — not previously tracked in any BOM or CG calc</t>
  </si>
  <si>
    <t xml:space="preserve">Now added to Components &amp; BOM and CG Estimate tabs (12g)</t>
  </si>
  <si>
    <t xml:space="preserve">True CG (physical)</t>
  </si>
  <si>
    <t xml:space="preserve">Only a virtual estimate exists (~41.2mm toward nose), and it's now more uncertain pending the battery/autopilot conflicts above</t>
  </si>
  <si>
    <t xml:space="preserve">unresolved</t>
  </si>
  <si>
    <t xml:space="preserve">Physical weigh &amp; balance per the Weight/CG/Motor Position Guide, once aircraft is accessible</t>
  </si>
  <si>
    <t xml:space="preserve">Collision mesh</t>
  </si>
  <si>
    <t xml:space="preserve">Still a placeholder box in model.sdf</t>
  </si>
  <si>
    <t xml:space="preserve">Build proper collision geometry from the verified visual mesh</t>
  </si>
  <si>
    <t xml:space="preserve">06/10/2026</t>
  </si>
  <si>
    <t xml:space="preserve">Inertia tensor</t>
  </si>
  <si>
    <t xml:space="preserve">Dummy diagonal values in model.sdf</t>
  </si>
  <si>
    <t xml:space="preserve">Derive from CG estimate once battery/autopilot conflicts are resolved</t>
  </si>
  <si>
    <t xml:space="preserve">How to use this workbook</t>
  </si>
  <si>
    <t xml:space="preserve">This is a living master data sheet for the MFE Fighter VTOL — built for reuse across the Gazebo model build, CG/inertia work, and any future validation.</t>
  </si>
  <si>
    <t xml:space="preserve">Colour key (used throughout):</t>
  </si>
  <si>
    <t xml:space="preserve">  GREEN  = real, published/confirmed data (cite the source column)</t>
  </si>
  <si>
    <t xml:space="preserve">  YELLOW = estimate or assumption (basis explained in the notes column)</t>
  </si>
  <si>
    <t xml:space="preserve">  ORANGE = open item / unresolved conflict — see the 'Open Items &amp; Conflicts' tab</t>
  </si>
  <si>
    <t xml:space="preserve">Tabs:</t>
  </si>
  <si>
    <t xml:space="preserve">  1. Aircraft Specs — top-level dimensions, performance, MTOW, CG landmark</t>
  </si>
  <si>
    <t xml:space="preserve">  2. Components &amp; BOM — every kit part, weight, status, source</t>
  </si>
  <si>
    <t xml:space="preserve">  3. Motor Positions — real X/Y/Z coordinates pulled from the verified 3D model</t>
  </si>
  <si>
    <t xml:space="preserve">  4. CG Estimate — LIVE formulas: edit any yellow mass/position cell and the CG recalculates automatically</t>
  </si>
  <si>
    <t xml:space="preserve">  5. Open Items &amp; Conflicts — every unresolved question in one place, with next steps</t>
  </si>
  <si>
    <t xml:space="preserve">When new real data arrives (e.g. a weighed motor, a 3DXR reply), update the relevant cell and its status/source — the CG Estimate tab will recompute on its 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</si>
</sst>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i val="true"/>
      <sz val="9"/>
      <color rgb="FF00610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BFBFBF"/>
      </patternFill>
    </fill>
    <fill>
      <patternFill patternType="solid">
        <fgColor rgb="FFFFF2CC"/>
        <bgColor rgb="FFFFE69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3dxr.co.uk/products/make-fly-easy-mfe-fighter-2430mm-wingspan-vtol" TargetMode="External"/><Relationship Id="rId2" Type="http://schemas.openxmlformats.org/officeDocument/2006/relationships/hyperlink" Target="https://www.3dxr.co.uk/products/make-fly-easy-mfe-fighter-2430mm-wingspan-vtol" TargetMode="External"/><Relationship Id="rId3" Type="http://schemas.openxmlformats.org/officeDocument/2006/relationships/hyperlink" Target="https://www.3dxr.co.uk/products/make-fly-easy-mfe-fighter-2430mm-wingspan-vtol" TargetMode="External"/><Relationship Id="rId4" Type="http://schemas.openxmlformats.org/officeDocument/2006/relationships/hyperlink" Target="https://www.3dxr.co.uk/products/make-fly-easy-mfe-fighter-2430mm-wingspan-vtol" TargetMode="External"/><Relationship Id="rId5" Type="http://schemas.openxmlformats.org/officeDocument/2006/relationships/hyperlink" Target="https://www.3dxr.co.uk/products/make-fly-easy-mfe-fighter-2430mm-wingspan-vtol" TargetMode="External"/><Relationship Id="rId6" Type="http://schemas.openxmlformats.org/officeDocument/2006/relationships/hyperlink" Target="https://www.3dxr.co.uk/products/make-fly-easy-mfe-fighter-2430mm-wingspan-vtol" TargetMode="External"/><Relationship Id="rId7" Type="http://schemas.openxmlformats.org/officeDocument/2006/relationships/hyperlink" Target="https://www.3dxr.co.uk/products/make-fly-easy-mfe-fighter-2430mm-wingspan-vtol" TargetMode="External"/><Relationship Id="rId8" Type="http://schemas.openxmlformats.org/officeDocument/2006/relationships/hyperlink" Target="https://www.3dxr.co.uk/products/make-fly-easy-mfe-fighter-2430mm-wingspan-vtol" TargetMode="External"/><Relationship Id="rId9" Type="http://schemas.openxmlformats.org/officeDocument/2006/relationships/hyperlink" Target="https://www.3dxr.co.uk/products/make-fly-easy-mfe-fighter-2430mm-wingspan-vtol" TargetMode="External"/><Relationship Id="rId10" Type="http://schemas.openxmlformats.org/officeDocument/2006/relationships/hyperlink" Target="https://www.3dxr.co.uk/products/make-fly-easy-mfe-fighter-2430mm-wingspan-vtol" TargetMode="External"/><Relationship Id="rId11" Type="http://schemas.openxmlformats.org/officeDocument/2006/relationships/hyperlink" Target="https://www.3dxr.co.uk/products/make-fly-easy-mfe-fighter-2430mm-wingspan-vtol" TargetMode="External"/><Relationship Id="rId12" Type="http://schemas.openxmlformats.org/officeDocument/2006/relationships/hyperlink" Target="https://www.3dxr.co.uk/products/make-fly-easy-mfe-fighter-2430mm-wingspan-vtol" TargetMode="External"/><Relationship Id="rId13" Type="http://schemas.openxmlformats.org/officeDocument/2006/relationships/hyperlink" Target="https://www.3dxr.co.uk/products/make-fly-easy-mfe-fighter-2430mm-wingspan-vto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3dxr.co.uk/products/t-motor-at4130-long-shaft?_pos=1&amp;_sid=832e69494&amp;_ss=r&amp;variant=63500333449565" TargetMode="External"/><Relationship Id="rId2" Type="http://schemas.openxmlformats.org/officeDocument/2006/relationships/hyperlink" Target="https://www.3dxr.co.uk/products/make-fly-easy-mfe-fighter-12s-60a-esc" TargetMode="External"/><Relationship Id="rId3" Type="http://schemas.openxmlformats.org/officeDocument/2006/relationships/hyperlink" Target="https://www.3dxr.co.uk/products/make-fly-easy-mfe-fighter-motor-5015-kv220" TargetMode="External"/><Relationship Id="rId4" Type="http://schemas.openxmlformats.org/officeDocument/2006/relationships/hyperlink" Target="https://www.3dxr.co.uk/products/make-fly-easy-mfe-fighter-12s-40a-esc" TargetMode="External"/><Relationship Id="rId5" Type="http://schemas.openxmlformats.org/officeDocument/2006/relationships/hyperlink" Target="https://www.3dxr.co.uk/products/make-fly-easy-mfe-fighter-propeller-pair-1862" TargetMode="External"/><Relationship Id="rId6" Type="http://schemas.openxmlformats.org/officeDocument/2006/relationships/hyperlink" Target="https://www.3dxr.co.uk/products/apc-propellers-apc-18x12we-thin-electric-wide-prop" TargetMode="External"/><Relationship Id="rId7" Type="http://schemas.openxmlformats.org/officeDocument/2006/relationships/hyperlink" Target="https://www.3dxr.co.uk/products/make-fly-easy-mfe-ubec-5-3v-10a-3-14s" TargetMode="External"/><Relationship Id="rId8" Type="http://schemas.openxmlformats.org/officeDocument/2006/relationships/hyperlink" Target="https://www.3dxr.co.uk/products/emax-es3054-hv-17g-metal-gear-digital-servo" TargetMode="External"/><Relationship Id="rId9" Type="http://schemas.openxmlformats.org/officeDocument/2006/relationships/hyperlink" Target="https://www.3dxr.co.uk/collections/tattu-30c-batteries" TargetMode="External"/><Relationship Id="rId10" Type="http://schemas.openxmlformats.org/officeDocument/2006/relationships/hyperlink" Target="https://www.3dxr.co.uk/products/make-fly-easy-mfe-fighter-2430mm-wingspan-vtol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3dxr.co.uk/products/make-fly-easy-mfe-fighter-motor-5015-kv220" TargetMode="External"/><Relationship Id="rId2" Type="http://schemas.openxmlformats.org/officeDocument/2006/relationships/hyperlink" Target="https://www.3dxr.co.uk/products/make-fly-easy-mfe-fighter-motor-5015-kv220" TargetMode="External"/><Relationship Id="rId3" Type="http://schemas.openxmlformats.org/officeDocument/2006/relationships/hyperlink" Target="https://www.3dxr.co.uk/products/t-motor-at4130-long-shaft?_pos=1&amp;_sid=832e69494&amp;_ss=r&amp;variant=63500333449565" TargetMode="External"/><Relationship Id="rId4" Type="http://schemas.openxmlformats.org/officeDocument/2006/relationships/hyperlink" Target="https://www.3dxr.co.uk/products/apc-propellers-apc-18x12we-thin-electric-wide-prop" TargetMode="External"/><Relationship Id="rId5" Type="http://schemas.openxmlformats.org/officeDocument/2006/relationships/hyperlink" Target="https://www.3dxr.co.uk/products/make-fly-easy-mfe-ubec-5-3v-10a-3-14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s">
        <v>10</v>
      </c>
      <c r="D5" s="7" t="s">
        <v>11</v>
      </c>
      <c r="E5" s="7"/>
      <c r="F5" s="8" t="s">
        <v>12</v>
      </c>
    </row>
    <row r="6" customFormat="false" ht="15" hidden="false" customHeight="false" outlineLevel="0" collapsed="false">
      <c r="A6" s="4" t="s">
        <v>13</v>
      </c>
      <c r="B6" s="5" t="s">
        <v>14</v>
      </c>
      <c r="C6" s="6" t="s">
        <v>10</v>
      </c>
      <c r="D6" s="7" t="s">
        <v>11</v>
      </c>
      <c r="E6" s="7"/>
      <c r="F6" s="8" t="s">
        <v>12</v>
      </c>
    </row>
    <row r="7" customFormat="false" ht="15" hidden="false" customHeight="false" outlineLevel="0" collapsed="false">
      <c r="A7" s="4" t="s">
        <v>15</v>
      </c>
      <c r="B7" s="5" t="s">
        <v>16</v>
      </c>
      <c r="C7" s="6" t="s">
        <v>10</v>
      </c>
      <c r="D7" s="7" t="s">
        <v>11</v>
      </c>
      <c r="E7" s="7"/>
      <c r="F7" s="8" t="s">
        <v>12</v>
      </c>
    </row>
    <row r="8" customFormat="false" ht="15" hidden="false" customHeight="false" outlineLevel="0" collapsed="false">
      <c r="A8" s="4" t="s">
        <v>17</v>
      </c>
      <c r="B8" s="5" t="s">
        <v>18</v>
      </c>
      <c r="C8" s="6" t="s">
        <v>10</v>
      </c>
      <c r="D8" s="7" t="s">
        <v>11</v>
      </c>
      <c r="E8" s="7"/>
      <c r="F8" s="8" t="s">
        <v>12</v>
      </c>
    </row>
    <row r="9" customFormat="false" ht="15" hidden="false" customHeight="false" outlineLevel="0" collapsed="false">
      <c r="A9" s="4" t="s">
        <v>19</v>
      </c>
      <c r="B9" s="5" t="s">
        <v>20</v>
      </c>
      <c r="C9" s="6" t="s">
        <v>10</v>
      </c>
      <c r="D9" s="7" t="s">
        <v>11</v>
      </c>
      <c r="E9" s="7"/>
      <c r="F9" s="8" t="s">
        <v>12</v>
      </c>
    </row>
    <row r="10" customFormat="false" ht="15" hidden="false" customHeight="false" outlineLevel="0" collapsed="false">
      <c r="A10" s="4" t="s">
        <v>21</v>
      </c>
      <c r="B10" s="5" t="s">
        <v>22</v>
      </c>
      <c r="C10" s="6" t="s">
        <v>10</v>
      </c>
      <c r="D10" s="7" t="s">
        <v>11</v>
      </c>
      <c r="E10" s="7"/>
      <c r="F10" s="8" t="s">
        <v>12</v>
      </c>
    </row>
    <row r="11" customFormat="false" ht="23.85" hidden="false" customHeight="false" outlineLevel="0" collapsed="false">
      <c r="A11" s="4" t="s">
        <v>23</v>
      </c>
      <c r="B11" s="5" t="s">
        <v>24</v>
      </c>
      <c r="C11" s="6" t="s">
        <v>10</v>
      </c>
      <c r="D11" s="7" t="s">
        <v>11</v>
      </c>
      <c r="E11" s="7" t="s">
        <v>25</v>
      </c>
      <c r="F11" s="8" t="s">
        <v>12</v>
      </c>
    </row>
    <row r="12" customFormat="false" ht="15" hidden="false" customHeight="false" outlineLevel="0" collapsed="false">
      <c r="A12" s="4" t="s">
        <v>26</v>
      </c>
      <c r="B12" s="5" t="s">
        <v>27</v>
      </c>
      <c r="C12" s="6" t="s">
        <v>10</v>
      </c>
      <c r="D12" s="7" t="s">
        <v>11</v>
      </c>
      <c r="E12" s="7"/>
      <c r="F12" s="8" t="s">
        <v>12</v>
      </c>
    </row>
    <row r="13" customFormat="false" ht="46.25" hidden="false" customHeight="false" outlineLevel="0" collapsed="false">
      <c r="A13" s="4" t="s">
        <v>28</v>
      </c>
      <c r="B13" s="5" t="s">
        <v>29</v>
      </c>
      <c r="C13" s="6" t="s">
        <v>10</v>
      </c>
      <c r="D13" s="7" t="s">
        <v>30</v>
      </c>
      <c r="E13" s="7" t="s">
        <v>31</v>
      </c>
      <c r="F13" s="9"/>
    </row>
    <row r="14" customFormat="false" ht="23.85" hidden="false" customHeight="false" outlineLevel="0" collapsed="false">
      <c r="A14" s="4" t="s">
        <v>32</v>
      </c>
      <c r="B14" s="5" t="s">
        <v>33</v>
      </c>
      <c r="C14" s="6" t="s">
        <v>10</v>
      </c>
      <c r="D14" s="7" t="s">
        <v>30</v>
      </c>
      <c r="E14" s="7" t="s">
        <v>34</v>
      </c>
      <c r="F14" s="9"/>
    </row>
    <row r="15" customFormat="false" ht="23.85" hidden="false" customHeight="false" outlineLevel="0" collapsed="false">
      <c r="A15" s="4" t="s">
        <v>35</v>
      </c>
      <c r="B15" s="5" t="s">
        <v>36</v>
      </c>
      <c r="C15" s="6" t="s">
        <v>10</v>
      </c>
      <c r="D15" s="7" t="s">
        <v>30</v>
      </c>
      <c r="E15" s="7"/>
      <c r="F15" s="9"/>
    </row>
    <row r="16" customFormat="false" ht="23.85" hidden="false" customHeight="false" outlineLevel="0" collapsed="false">
      <c r="A16" s="4" t="s">
        <v>37</v>
      </c>
      <c r="B16" s="5" t="s">
        <v>38</v>
      </c>
      <c r="C16" s="6" t="s">
        <v>10</v>
      </c>
      <c r="D16" s="7" t="s">
        <v>30</v>
      </c>
      <c r="E16" s="7"/>
      <c r="F16" s="9"/>
    </row>
    <row r="17" customFormat="false" ht="15" hidden="false" customHeight="false" outlineLevel="0" collapsed="false">
      <c r="A17" s="4" t="s">
        <v>39</v>
      </c>
      <c r="B17" s="5" t="s">
        <v>40</v>
      </c>
      <c r="C17" s="6" t="s">
        <v>10</v>
      </c>
      <c r="D17" s="7" t="s">
        <v>11</v>
      </c>
      <c r="E17" s="7"/>
      <c r="F17" s="8" t="s">
        <v>12</v>
      </c>
    </row>
    <row r="18" customFormat="false" ht="23.85" hidden="false" customHeight="false" outlineLevel="0" collapsed="false">
      <c r="A18" s="4" t="s">
        <v>41</v>
      </c>
      <c r="B18" s="5" t="s">
        <v>42</v>
      </c>
      <c r="C18" s="6" t="s">
        <v>10</v>
      </c>
      <c r="D18" s="7" t="s">
        <v>43</v>
      </c>
      <c r="E18" s="7" t="s">
        <v>44</v>
      </c>
      <c r="F18" s="8" t="s">
        <v>12</v>
      </c>
    </row>
    <row r="19" customFormat="false" ht="15" hidden="false" customHeight="false" outlineLevel="0" collapsed="false">
      <c r="A19" s="4" t="s">
        <v>45</v>
      </c>
      <c r="B19" s="5" t="s">
        <v>46</v>
      </c>
      <c r="C19" s="6" t="s">
        <v>10</v>
      </c>
      <c r="D19" s="7" t="s">
        <v>11</v>
      </c>
      <c r="E19" s="7"/>
      <c r="F19" s="8" t="s">
        <v>12</v>
      </c>
    </row>
    <row r="20" customFormat="false" ht="15" hidden="false" customHeight="false" outlineLevel="0" collapsed="false">
      <c r="A20" s="4" t="s">
        <v>47</v>
      </c>
      <c r="B20" s="5" t="s">
        <v>48</v>
      </c>
      <c r="C20" s="6" t="s">
        <v>10</v>
      </c>
      <c r="D20" s="7" t="s">
        <v>11</v>
      </c>
      <c r="E20" s="7" t="s">
        <v>49</v>
      </c>
      <c r="F20" s="8" t="s">
        <v>12</v>
      </c>
    </row>
    <row r="21" customFormat="false" ht="23.85" hidden="false" customHeight="false" outlineLevel="0" collapsed="false">
      <c r="A21" s="4" t="s">
        <v>50</v>
      </c>
      <c r="B21" s="5" t="s">
        <v>51</v>
      </c>
      <c r="C21" s="6" t="s">
        <v>10</v>
      </c>
      <c r="D21" s="7" t="s">
        <v>11</v>
      </c>
      <c r="E21" s="7" t="s">
        <v>52</v>
      </c>
      <c r="F21" s="8" t="s">
        <v>12</v>
      </c>
    </row>
    <row r="22" customFormat="false" ht="15" hidden="false" customHeight="false" outlineLevel="0" collapsed="false">
      <c r="A22" s="4" t="s">
        <v>53</v>
      </c>
      <c r="B22" s="10" t="s">
        <v>54</v>
      </c>
      <c r="C22" s="11" t="s">
        <v>55</v>
      </c>
      <c r="D22" s="7" t="s">
        <v>56</v>
      </c>
      <c r="E22" s="7" t="s">
        <v>57</v>
      </c>
      <c r="F22" s="9"/>
    </row>
    <row r="23" customFormat="false" ht="23.85" hidden="false" customHeight="false" outlineLevel="0" collapsed="false">
      <c r="A23" s="4" t="s">
        <v>58</v>
      </c>
      <c r="B23" s="5" t="s">
        <v>59</v>
      </c>
      <c r="C23" s="6" t="s">
        <v>10</v>
      </c>
      <c r="D23" s="7" t="s">
        <v>60</v>
      </c>
      <c r="E23" s="7" t="s">
        <v>61</v>
      </c>
      <c r="F23" s="9"/>
    </row>
  </sheetData>
  <mergeCells count="1">
    <mergeCell ref="A2:F2"/>
  </mergeCells>
  <hyperlinks>
    <hyperlink ref="F5" r:id="rId1" display="Product page"/>
    <hyperlink ref="F6" r:id="rId2" display="Product page"/>
    <hyperlink ref="F7" r:id="rId3" display="Product page"/>
    <hyperlink ref="F8" r:id="rId4" display="Product page"/>
    <hyperlink ref="F9" r:id="rId5" display="Product page"/>
    <hyperlink ref="F10" r:id="rId6" display="Product page"/>
    <hyperlink ref="F11" r:id="rId7" display="Product page"/>
    <hyperlink ref="F12" r:id="rId8" display="Product page"/>
    <hyperlink ref="F17" r:id="rId9" display="Product page"/>
    <hyperlink ref="F18" r:id="rId10" display="Product page"/>
    <hyperlink ref="F19" r:id="rId11" display="Product page"/>
    <hyperlink ref="F20" r:id="rId12" display="Product page"/>
    <hyperlink ref="F21" r:id="rId13" display="Product p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50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2" t="s">
        <v>62</v>
      </c>
      <c r="B1" s="12"/>
      <c r="C1" s="12"/>
      <c r="D1" s="12"/>
      <c r="E1" s="12"/>
      <c r="F1" s="12"/>
      <c r="G1" s="12"/>
      <c r="H1" s="12"/>
    </row>
    <row r="3" customFormat="false" ht="26.85" hidden="false" customHeight="false" outlineLevel="0" collapsed="false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4</v>
      </c>
      <c r="G3" s="3" t="s">
        <v>5</v>
      </c>
      <c r="H3" s="3" t="s">
        <v>6</v>
      </c>
      <c r="I3" s="3" t="s">
        <v>7</v>
      </c>
    </row>
    <row r="4" customFormat="false" ht="23.85" hidden="false" customHeight="false" outlineLevel="0" collapsed="false">
      <c r="A4" s="9" t="n">
        <v>1</v>
      </c>
      <c r="B4" s="4" t="s">
        <v>68</v>
      </c>
      <c r="C4" s="7" t="s">
        <v>69</v>
      </c>
      <c r="D4" s="6" t="n">
        <v>324</v>
      </c>
      <c r="E4" s="6" t="n">
        <f aca="false">A4*D4</f>
        <v>324</v>
      </c>
      <c r="F4" s="6" t="s">
        <v>10</v>
      </c>
      <c r="G4" s="7" t="s">
        <v>70</v>
      </c>
      <c r="H4" s="7" t="s">
        <v>71</v>
      </c>
      <c r="I4" s="8" t="s">
        <v>72</v>
      </c>
    </row>
    <row r="5" customFormat="false" ht="23.85" hidden="false" customHeight="false" outlineLevel="0" collapsed="false">
      <c r="A5" s="9" t="n">
        <v>1</v>
      </c>
      <c r="B5" s="4" t="s">
        <v>73</v>
      </c>
      <c r="C5" s="7" t="s">
        <v>74</v>
      </c>
      <c r="D5" s="6" t="n">
        <v>85</v>
      </c>
      <c r="E5" s="6" t="n">
        <f aca="false">A5*D5</f>
        <v>85</v>
      </c>
      <c r="F5" s="6" t="s">
        <v>10</v>
      </c>
      <c r="G5" s="7" t="s">
        <v>75</v>
      </c>
      <c r="H5" s="7" t="s">
        <v>76</v>
      </c>
      <c r="I5" s="8" t="s">
        <v>72</v>
      </c>
    </row>
    <row r="6" customFormat="false" ht="35.05" hidden="false" customHeight="false" outlineLevel="0" collapsed="false">
      <c r="A6" s="9" t="n">
        <v>4</v>
      </c>
      <c r="B6" s="4" t="s">
        <v>77</v>
      </c>
      <c r="C6" s="7" t="s">
        <v>78</v>
      </c>
      <c r="D6" s="6" t="n">
        <v>221</v>
      </c>
      <c r="E6" s="6" t="n">
        <f aca="false">A6*D6</f>
        <v>884</v>
      </c>
      <c r="F6" s="6" t="s">
        <v>10</v>
      </c>
      <c r="G6" s="7" t="s">
        <v>79</v>
      </c>
      <c r="H6" s="7" t="s">
        <v>80</v>
      </c>
      <c r="I6" s="8" t="s">
        <v>72</v>
      </c>
    </row>
    <row r="7" customFormat="false" ht="57.45" hidden="false" customHeight="false" outlineLevel="0" collapsed="false">
      <c r="A7" s="9" t="n">
        <v>4</v>
      </c>
      <c r="B7" s="4" t="s">
        <v>81</v>
      </c>
      <c r="C7" s="7" t="s">
        <v>82</v>
      </c>
      <c r="D7" s="6" t="n">
        <v>53</v>
      </c>
      <c r="E7" s="6" t="n">
        <f aca="false">A7*D7</f>
        <v>212</v>
      </c>
      <c r="F7" s="6" t="s">
        <v>10</v>
      </c>
      <c r="G7" s="7" t="s">
        <v>75</v>
      </c>
      <c r="H7" s="7" t="s">
        <v>83</v>
      </c>
      <c r="I7" s="8" t="s">
        <v>72</v>
      </c>
    </row>
    <row r="8" customFormat="false" ht="23.85" hidden="false" customHeight="false" outlineLevel="0" collapsed="false">
      <c r="A8" s="9" t="n">
        <v>1</v>
      </c>
      <c r="B8" s="4" t="s">
        <v>84</v>
      </c>
      <c r="C8" s="7" t="s">
        <v>85</v>
      </c>
      <c r="D8" s="13" t="s">
        <v>86</v>
      </c>
      <c r="E8" s="13" t="s">
        <v>87</v>
      </c>
      <c r="F8" s="13" t="s">
        <v>88</v>
      </c>
      <c r="G8" s="7" t="s">
        <v>87</v>
      </c>
      <c r="H8" s="7" t="s">
        <v>89</v>
      </c>
      <c r="I8" s="9"/>
    </row>
    <row r="9" customFormat="false" ht="35.05" hidden="false" customHeight="false" outlineLevel="0" collapsed="false">
      <c r="A9" s="9" t="n">
        <v>2</v>
      </c>
      <c r="B9" s="4" t="s">
        <v>90</v>
      </c>
      <c r="C9" s="7" t="s">
        <v>91</v>
      </c>
      <c r="D9" s="6" t="n">
        <v>39</v>
      </c>
      <c r="E9" s="6" t="n">
        <f aca="false">A9*D9</f>
        <v>78</v>
      </c>
      <c r="F9" s="6" t="s">
        <v>10</v>
      </c>
      <c r="G9" s="7" t="s">
        <v>92</v>
      </c>
      <c r="H9" s="7" t="s">
        <v>93</v>
      </c>
      <c r="I9" s="8" t="s">
        <v>72</v>
      </c>
    </row>
    <row r="10" customFormat="false" ht="23.85" hidden="false" customHeight="false" outlineLevel="0" collapsed="false">
      <c r="A10" s="9" t="n">
        <v>1</v>
      </c>
      <c r="B10" s="4" t="s">
        <v>94</v>
      </c>
      <c r="C10" s="7" t="s">
        <v>95</v>
      </c>
      <c r="D10" s="6" t="n">
        <v>83</v>
      </c>
      <c r="E10" s="6" t="n">
        <f aca="false">A10*D10</f>
        <v>83</v>
      </c>
      <c r="F10" s="6" t="s">
        <v>10</v>
      </c>
      <c r="G10" s="7" t="s">
        <v>30</v>
      </c>
      <c r="H10" s="7" t="s">
        <v>96</v>
      </c>
      <c r="I10" s="8" t="s">
        <v>72</v>
      </c>
    </row>
    <row r="11" customFormat="false" ht="23.85" hidden="false" customHeight="false" outlineLevel="0" collapsed="false">
      <c r="A11" s="9" t="n">
        <v>1</v>
      </c>
      <c r="B11" s="4" t="s">
        <v>97</v>
      </c>
      <c r="C11" s="7" t="s">
        <v>98</v>
      </c>
      <c r="D11" s="6" t="n">
        <v>57</v>
      </c>
      <c r="E11" s="6" t="n">
        <f aca="false">A11*D11</f>
        <v>57</v>
      </c>
      <c r="F11" s="6" t="s">
        <v>10</v>
      </c>
      <c r="G11" s="7" t="s">
        <v>30</v>
      </c>
      <c r="H11" s="7" t="s">
        <v>99</v>
      </c>
      <c r="I11" s="8" t="s">
        <v>72</v>
      </c>
    </row>
    <row r="12" customFormat="false" ht="35.05" hidden="false" customHeight="false" outlineLevel="0" collapsed="false">
      <c r="A12" s="9" t="n">
        <v>5</v>
      </c>
      <c r="B12" s="4" t="s">
        <v>100</v>
      </c>
      <c r="C12" s="7" t="s">
        <v>101</v>
      </c>
      <c r="D12" s="13" t="n">
        <v>17</v>
      </c>
      <c r="E12" s="13" t="n">
        <f aca="false">A12*D12</f>
        <v>85</v>
      </c>
      <c r="F12" s="13" t="s">
        <v>102</v>
      </c>
      <c r="G12" s="7" t="s">
        <v>103</v>
      </c>
      <c r="H12" s="7" t="s">
        <v>104</v>
      </c>
      <c r="I12" s="8" t="s">
        <v>72</v>
      </c>
    </row>
    <row r="13" customFormat="false" ht="23.85" hidden="false" customHeight="false" outlineLevel="0" collapsed="false">
      <c r="A13" s="9" t="n">
        <v>1</v>
      </c>
      <c r="B13" s="4" t="s">
        <v>105</v>
      </c>
      <c r="C13" s="7" t="s">
        <v>106</v>
      </c>
      <c r="D13" s="6" t="n">
        <v>12</v>
      </c>
      <c r="E13" s="6" t="n">
        <f aca="false">A13*D13</f>
        <v>12</v>
      </c>
      <c r="F13" s="6" t="s">
        <v>10</v>
      </c>
      <c r="G13" s="7" t="s">
        <v>30</v>
      </c>
      <c r="H13" s="7" t="s">
        <v>107</v>
      </c>
      <c r="I13" s="9"/>
    </row>
    <row r="14" customFormat="false" ht="23.85" hidden="false" customHeight="false" outlineLevel="0" collapsed="false">
      <c r="A14" s="9" t="n">
        <v>2</v>
      </c>
      <c r="B14" s="4" t="s">
        <v>108</v>
      </c>
      <c r="C14" s="7" t="s">
        <v>109</v>
      </c>
      <c r="D14" s="6" t="n">
        <v>1974</v>
      </c>
      <c r="E14" s="6" t="n">
        <f aca="false">A14*D14</f>
        <v>3948</v>
      </c>
      <c r="F14" s="6" t="s">
        <v>10</v>
      </c>
      <c r="G14" s="7" t="s">
        <v>110</v>
      </c>
      <c r="H14" s="7" t="s">
        <v>111</v>
      </c>
      <c r="I14" s="8" t="s">
        <v>72</v>
      </c>
    </row>
    <row r="15" customFormat="false" ht="35.05" hidden="false" customHeight="false" outlineLevel="0" collapsed="false">
      <c r="A15" s="9" t="n">
        <v>2</v>
      </c>
      <c r="B15" s="4" t="s">
        <v>112</v>
      </c>
      <c r="C15" s="7" t="s">
        <v>113</v>
      </c>
      <c r="D15" s="6" t="n">
        <v>1980</v>
      </c>
      <c r="E15" s="6" t="n">
        <f aca="false">A15*D15</f>
        <v>3960</v>
      </c>
      <c r="F15" s="6" t="s">
        <v>10</v>
      </c>
      <c r="G15" s="7" t="s">
        <v>114</v>
      </c>
      <c r="H15" s="7" t="s">
        <v>115</v>
      </c>
      <c r="I15" s="9"/>
    </row>
    <row r="16" customFormat="false" ht="46.25" hidden="false" customHeight="false" outlineLevel="0" collapsed="false">
      <c r="A16" s="9" t="n">
        <v>1</v>
      </c>
      <c r="B16" s="4" t="s">
        <v>116</v>
      </c>
      <c r="C16" s="7" t="s">
        <v>117</v>
      </c>
      <c r="D16" s="6" t="n">
        <v>53</v>
      </c>
      <c r="E16" s="6" t="n">
        <f aca="false">A16*D16</f>
        <v>53</v>
      </c>
      <c r="F16" s="6" t="s">
        <v>10</v>
      </c>
      <c r="G16" s="7" t="s">
        <v>118</v>
      </c>
      <c r="H16" s="7" t="s">
        <v>119</v>
      </c>
      <c r="I16" s="9"/>
    </row>
    <row r="17" customFormat="false" ht="23.85" hidden="false" customHeight="false" outlineLevel="0" collapsed="false">
      <c r="A17" s="9" t="n">
        <v>1</v>
      </c>
      <c r="B17" s="4" t="s">
        <v>120</v>
      </c>
      <c r="C17" s="7" t="s">
        <v>121</v>
      </c>
      <c r="D17" s="6" t="s">
        <v>86</v>
      </c>
      <c r="E17" s="6" t="s">
        <v>87</v>
      </c>
      <c r="F17" s="6" t="s">
        <v>10</v>
      </c>
      <c r="G17" s="7" t="s">
        <v>122</v>
      </c>
      <c r="H17" s="7" t="s">
        <v>123</v>
      </c>
      <c r="I17" s="8" t="s">
        <v>72</v>
      </c>
    </row>
    <row r="18" customFormat="false" ht="15" hidden="false" customHeight="false" outlineLevel="0" collapsed="false">
      <c r="B18" s="14" t="s">
        <v>124</v>
      </c>
      <c r="E18" s="4" t="n">
        <f aca="false">E4+E5+E6+E7+E9+E10+E11+E12+E13+E14+E15+E16</f>
        <v>9781</v>
      </c>
    </row>
    <row r="19" customFormat="false" ht="15" hidden="false" customHeight="false" outlineLevel="0" collapsed="false">
      <c r="B19" s="15" t="s">
        <v>125</v>
      </c>
    </row>
  </sheetData>
  <mergeCells count="1">
    <mergeCell ref="A1:H1"/>
  </mergeCells>
  <hyperlinks>
    <hyperlink ref="I4" r:id="rId1" display="View"/>
    <hyperlink ref="I5" r:id="rId2" display="View"/>
    <hyperlink ref="I6" r:id="rId3" display="View"/>
    <hyperlink ref="I7" r:id="rId4" display="View"/>
    <hyperlink ref="I9" r:id="rId5" display="View"/>
    <hyperlink ref="I10" r:id="rId6" display="View"/>
    <hyperlink ref="I11" r:id="rId7" display="View"/>
    <hyperlink ref="I12" r:id="rId8" display="View"/>
    <hyperlink ref="I14" r:id="rId9" display="View"/>
    <hyperlink ref="I17" r:id="rId10" display="Vi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5" min="5" style="0" width="16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2" t="s">
        <v>126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2" t="s">
        <v>127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128</v>
      </c>
      <c r="B4" s="3" t="s">
        <v>129</v>
      </c>
      <c r="C4" s="3" t="s">
        <v>130</v>
      </c>
      <c r="D4" s="3" t="s">
        <v>131</v>
      </c>
      <c r="E4" s="3" t="s">
        <v>4</v>
      </c>
      <c r="F4" s="3" t="s">
        <v>6</v>
      </c>
    </row>
    <row r="5" customFormat="false" ht="23.85" hidden="false" customHeight="false" outlineLevel="0" collapsed="false">
      <c r="A5" s="4" t="s">
        <v>132</v>
      </c>
      <c r="B5" s="6" t="n">
        <v>-516.8</v>
      </c>
      <c r="C5" s="6" t="n">
        <v>484.7</v>
      </c>
      <c r="D5" s="6" t="n">
        <v>-25.5</v>
      </c>
      <c r="E5" s="9" t="s">
        <v>133</v>
      </c>
      <c r="F5" s="7" t="s">
        <v>134</v>
      </c>
    </row>
    <row r="6" customFormat="false" ht="23.85" hidden="false" customHeight="false" outlineLevel="0" collapsed="false">
      <c r="A6" s="4" t="s">
        <v>135</v>
      </c>
      <c r="B6" s="6" t="n">
        <v>516.8</v>
      </c>
      <c r="C6" s="6" t="n">
        <v>484.7</v>
      </c>
      <c r="D6" s="6" t="n">
        <v>-25.5</v>
      </c>
      <c r="E6" s="9" t="s">
        <v>133</v>
      </c>
      <c r="F6" s="7" t="s">
        <v>134</v>
      </c>
    </row>
    <row r="7" customFormat="false" ht="23.85" hidden="false" customHeight="false" outlineLevel="0" collapsed="false">
      <c r="A7" s="4" t="s">
        <v>136</v>
      </c>
      <c r="B7" s="6" t="n">
        <v>-516.8</v>
      </c>
      <c r="C7" s="6" t="n">
        <v>-409.4</v>
      </c>
      <c r="D7" s="6" t="n">
        <v>21.6</v>
      </c>
      <c r="E7" s="9" t="s">
        <v>133</v>
      </c>
      <c r="F7" s="7" t="s">
        <v>134</v>
      </c>
    </row>
    <row r="8" customFormat="false" ht="23.85" hidden="false" customHeight="false" outlineLevel="0" collapsed="false">
      <c r="A8" s="4" t="s">
        <v>137</v>
      </c>
      <c r="B8" s="6" t="n">
        <v>516.8</v>
      </c>
      <c r="C8" s="6" t="n">
        <v>-409.4</v>
      </c>
      <c r="D8" s="6" t="n">
        <v>21.6</v>
      </c>
      <c r="E8" s="9" t="s">
        <v>133</v>
      </c>
      <c r="F8" s="7" t="s">
        <v>134</v>
      </c>
    </row>
    <row r="9" customFormat="false" ht="23.85" hidden="false" customHeight="false" outlineLevel="0" collapsed="false">
      <c r="A9" s="4" t="s">
        <v>138</v>
      </c>
      <c r="B9" s="6" t="n">
        <v>0</v>
      </c>
      <c r="C9" s="6" t="n">
        <v>458.7</v>
      </c>
      <c r="D9" s="6" t="n">
        <v>-55.9</v>
      </c>
      <c r="E9" s="9" t="s">
        <v>133</v>
      </c>
      <c r="F9" s="7" t="s">
        <v>134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2" t="s">
        <v>139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6" t="s">
        <v>140</v>
      </c>
      <c r="B2" s="16"/>
      <c r="C2" s="16"/>
      <c r="D2" s="16"/>
      <c r="E2" s="16"/>
      <c r="F2" s="16"/>
    </row>
    <row r="3" customFormat="false" ht="15" hidden="false" customHeight="false" outlineLevel="0" collapsed="false">
      <c r="A3" s="17" t="s">
        <v>141</v>
      </c>
      <c r="B3" s="17"/>
      <c r="C3" s="17"/>
      <c r="D3" s="17"/>
      <c r="E3" s="17"/>
      <c r="F3" s="17"/>
    </row>
    <row r="5" customFormat="false" ht="26.85" hidden="false" customHeight="false" outlineLevel="0" collapsed="false">
      <c r="A5" s="3" t="s">
        <v>64</v>
      </c>
      <c r="B5" s="3" t="s">
        <v>142</v>
      </c>
      <c r="C5" s="3" t="s">
        <v>143</v>
      </c>
      <c r="D5" s="3" t="s">
        <v>144</v>
      </c>
      <c r="E5" s="3" t="s">
        <v>4</v>
      </c>
      <c r="F5" s="3" t="s">
        <v>145</v>
      </c>
    </row>
    <row r="6" customFormat="false" ht="23.85" hidden="false" customHeight="false" outlineLevel="0" collapsed="false">
      <c r="A6" s="18" t="s">
        <v>146</v>
      </c>
      <c r="B6" s="6" t="n">
        <v>3.948</v>
      </c>
      <c r="C6" s="6" t="n">
        <v>350</v>
      </c>
      <c r="D6" s="9" t="n">
        <f aca="false">B6*C6</f>
        <v>1381.8</v>
      </c>
      <c r="E6" s="6" t="s">
        <v>10</v>
      </c>
      <c r="F6" s="7" t="s">
        <v>147</v>
      </c>
    </row>
    <row r="7" customFormat="false" ht="35.05" hidden="false" customHeight="false" outlineLevel="0" collapsed="false">
      <c r="A7" s="18" t="s">
        <v>148</v>
      </c>
      <c r="B7" s="6" t="n">
        <v>0.053</v>
      </c>
      <c r="C7" s="6" t="n">
        <v>50</v>
      </c>
      <c r="D7" s="9" t="n">
        <f aca="false">B7*C7</f>
        <v>2.65</v>
      </c>
      <c r="E7" s="6" t="s">
        <v>10</v>
      </c>
      <c r="F7" s="7" t="s">
        <v>149</v>
      </c>
    </row>
    <row r="8" customFormat="false" ht="23.85" hidden="false" customHeight="false" outlineLevel="0" collapsed="false">
      <c r="A8" s="18" t="s">
        <v>150</v>
      </c>
      <c r="B8" s="6" t="n">
        <v>0.492</v>
      </c>
      <c r="C8" s="6" t="n">
        <v>459</v>
      </c>
      <c r="D8" s="9" t="n">
        <f aca="false">B8*C8</f>
        <v>225.828</v>
      </c>
      <c r="E8" s="6" t="s">
        <v>10</v>
      </c>
      <c r="F8" s="7" t="s">
        <v>151</v>
      </c>
    </row>
    <row r="9" customFormat="false" ht="23.85" hidden="false" customHeight="false" outlineLevel="0" collapsed="false">
      <c r="A9" s="18" t="s">
        <v>152</v>
      </c>
      <c r="B9" s="6" t="n">
        <v>0.2835</v>
      </c>
      <c r="C9" s="6" t="n">
        <v>484.7</v>
      </c>
      <c r="D9" s="9" t="n">
        <f aca="false">B9*C9</f>
        <v>137.41245</v>
      </c>
      <c r="E9" s="6" t="s">
        <v>10</v>
      </c>
      <c r="F9" s="7" t="s">
        <v>153</v>
      </c>
    </row>
    <row r="10" customFormat="false" ht="23.85" hidden="false" customHeight="false" outlineLevel="0" collapsed="false">
      <c r="A10" s="18" t="s">
        <v>154</v>
      </c>
      <c r="B10" s="6" t="n">
        <v>0.2835</v>
      </c>
      <c r="C10" s="6" t="n">
        <v>484.7</v>
      </c>
      <c r="D10" s="9" t="n">
        <f aca="false">B10*C10</f>
        <v>137.41245</v>
      </c>
      <c r="E10" s="6" t="s">
        <v>10</v>
      </c>
      <c r="F10" s="7" t="s">
        <v>155</v>
      </c>
    </row>
    <row r="11" customFormat="false" ht="15" hidden="false" customHeight="false" outlineLevel="0" collapsed="false">
      <c r="A11" s="18" t="s">
        <v>156</v>
      </c>
      <c r="B11" s="6" t="n">
        <v>0.2835</v>
      </c>
      <c r="C11" s="6" t="n">
        <v>-409.4</v>
      </c>
      <c r="D11" s="9" t="n">
        <f aca="false">B11*C11</f>
        <v>-116.0649</v>
      </c>
      <c r="E11" s="6" t="s">
        <v>10</v>
      </c>
      <c r="F11" s="7" t="s">
        <v>155</v>
      </c>
    </row>
    <row r="12" customFormat="false" ht="23.85" hidden="false" customHeight="false" outlineLevel="0" collapsed="false">
      <c r="A12" s="18" t="s">
        <v>157</v>
      </c>
      <c r="B12" s="6" t="n">
        <v>0.2835</v>
      </c>
      <c r="C12" s="6" t="n">
        <v>-409.4</v>
      </c>
      <c r="D12" s="9" t="n">
        <f aca="false">B12*C12</f>
        <v>-116.0649</v>
      </c>
      <c r="E12" s="6" t="s">
        <v>10</v>
      </c>
      <c r="F12" s="7" t="s">
        <v>155</v>
      </c>
    </row>
    <row r="13" customFormat="false" ht="35.05" hidden="false" customHeight="false" outlineLevel="0" collapsed="false">
      <c r="A13" s="18" t="s">
        <v>158</v>
      </c>
      <c r="B13" s="13" t="n">
        <v>0.097</v>
      </c>
      <c r="C13" s="13" t="n">
        <v>-288</v>
      </c>
      <c r="D13" s="9" t="n">
        <f aca="false">B13*C13</f>
        <v>-27.936</v>
      </c>
      <c r="E13" s="13" t="s">
        <v>102</v>
      </c>
      <c r="F13" s="7" t="s">
        <v>159</v>
      </c>
    </row>
    <row r="14" customFormat="false" ht="15" hidden="false" customHeight="false" outlineLevel="0" collapsed="false">
      <c r="A14" s="18" t="s">
        <v>97</v>
      </c>
      <c r="B14" s="6" t="n">
        <v>0.057</v>
      </c>
      <c r="C14" s="6" t="n">
        <v>0</v>
      </c>
      <c r="D14" s="9" t="n">
        <f aca="false">B14*C14</f>
        <v>0</v>
      </c>
      <c r="E14" s="6" t="s">
        <v>10</v>
      </c>
      <c r="F14" s="7" t="s">
        <v>160</v>
      </c>
    </row>
    <row r="15" customFormat="false" ht="35.05" hidden="false" customHeight="false" outlineLevel="0" collapsed="false">
      <c r="A15" s="18" t="s">
        <v>161</v>
      </c>
      <c r="B15" s="11" t="n">
        <f aca="false">10-(B6+B7+B8+B9+B10+B11+B12+B13+B14)</f>
        <v>4.219</v>
      </c>
      <c r="C15" s="11" t="n">
        <v>-288</v>
      </c>
      <c r="D15" s="9" t="n">
        <f aca="false">B15*C15</f>
        <v>-1215.072</v>
      </c>
      <c r="E15" s="11" t="s">
        <v>55</v>
      </c>
      <c r="F15" s="7" t="s">
        <v>162</v>
      </c>
    </row>
    <row r="16" customFormat="false" ht="15" hidden="false" customHeight="false" outlineLevel="0" collapsed="false">
      <c r="A16" s="14" t="s">
        <v>163</v>
      </c>
      <c r="B16" s="4" t="n">
        <f aca="false">SUM(B6:B15)</f>
        <v>10</v>
      </c>
      <c r="D16" s="4" t="n">
        <f aca="false">SUM(D6:D15)</f>
        <v>409.9651</v>
      </c>
    </row>
    <row r="17" customFormat="false" ht="15" hidden="false" customHeight="false" outlineLevel="0" collapsed="false">
      <c r="A17" s="14" t="s">
        <v>164</v>
      </c>
      <c r="B17" s="19" t="n">
        <f aca="false">D16/B16</f>
        <v>40.99651</v>
      </c>
    </row>
    <row r="18" customFormat="false" ht="15" hidden="false" customHeight="false" outlineLevel="0" collapsed="false">
      <c r="A18" s="15" t="s">
        <v>165</v>
      </c>
    </row>
    <row r="19" customFormat="false" ht="15" hidden="false" customHeight="false" outlineLevel="0" collapsed="false">
      <c r="A19" s="15" t="s">
        <v>166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2" t="s">
        <v>167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6" t="s">
        <v>168</v>
      </c>
      <c r="B2" s="16"/>
      <c r="C2" s="16"/>
      <c r="D2" s="16"/>
      <c r="E2" s="16"/>
      <c r="F2" s="16"/>
    </row>
    <row r="3" customFormat="false" ht="15" hidden="false" customHeight="false" outlineLevel="0" collapsed="false">
      <c r="A3" s="17" t="s">
        <v>169</v>
      </c>
      <c r="B3" s="17"/>
      <c r="C3" s="17"/>
      <c r="D3" s="17"/>
      <c r="E3" s="17"/>
      <c r="F3" s="17"/>
    </row>
    <row r="5" customFormat="false" ht="26.85" hidden="false" customHeight="false" outlineLevel="0" collapsed="false">
      <c r="A5" s="3" t="s">
        <v>64</v>
      </c>
      <c r="B5" s="3" t="s">
        <v>142</v>
      </c>
      <c r="C5" s="3" t="s">
        <v>143</v>
      </c>
      <c r="D5" s="3" t="s">
        <v>144</v>
      </c>
      <c r="E5" s="3" t="s">
        <v>4</v>
      </c>
      <c r="F5" s="3" t="s">
        <v>145</v>
      </c>
    </row>
    <row r="6" customFormat="false" ht="46.25" hidden="false" customHeight="false" outlineLevel="0" collapsed="false">
      <c r="A6" s="18" t="s">
        <v>170</v>
      </c>
      <c r="B6" s="6" t="n">
        <v>3.96</v>
      </c>
      <c r="C6" s="6" t="n">
        <v>350</v>
      </c>
      <c r="D6" s="9" t="n">
        <f aca="false">B6*C6</f>
        <v>1386</v>
      </c>
      <c r="E6" s="6" t="s">
        <v>10</v>
      </c>
      <c r="F6" s="7" t="s">
        <v>171</v>
      </c>
    </row>
    <row r="7" customFormat="false" ht="35.05" hidden="false" customHeight="false" outlineLevel="0" collapsed="false">
      <c r="A7" s="18" t="s">
        <v>148</v>
      </c>
      <c r="B7" s="6" t="n">
        <v>0.053</v>
      </c>
      <c r="C7" s="6" t="n">
        <v>50</v>
      </c>
      <c r="D7" s="9" t="n">
        <f aca="false">B7*C7</f>
        <v>2.65</v>
      </c>
      <c r="E7" s="6" t="s">
        <v>10</v>
      </c>
      <c r="F7" s="7" t="s">
        <v>149</v>
      </c>
    </row>
    <row r="8" customFormat="false" ht="23.85" hidden="false" customHeight="false" outlineLevel="0" collapsed="false">
      <c r="A8" s="18" t="s">
        <v>150</v>
      </c>
      <c r="B8" s="6" t="n">
        <v>0.492</v>
      </c>
      <c r="C8" s="6" t="n">
        <v>459</v>
      </c>
      <c r="D8" s="9" t="n">
        <f aca="false">B8*C8</f>
        <v>225.828</v>
      </c>
      <c r="E8" s="6" t="s">
        <v>10</v>
      </c>
      <c r="F8" s="7" t="s">
        <v>151</v>
      </c>
    </row>
    <row r="9" customFormat="false" ht="23.85" hidden="false" customHeight="false" outlineLevel="0" collapsed="false">
      <c r="A9" s="18" t="s">
        <v>152</v>
      </c>
      <c r="B9" s="6" t="n">
        <v>0.2835</v>
      </c>
      <c r="C9" s="6" t="n">
        <v>484.7</v>
      </c>
      <c r="D9" s="9" t="n">
        <f aca="false">B9*C9</f>
        <v>137.41245</v>
      </c>
      <c r="E9" s="6" t="s">
        <v>10</v>
      </c>
      <c r="F9" s="7" t="s">
        <v>153</v>
      </c>
    </row>
    <row r="10" customFormat="false" ht="23.85" hidden="false" customHeight="false" outlineLevel="0" collapsed="false">
      <c r="A10" s="18" t="s">
        <v>154</v>
      </c>
      <c r="B10" s="6" t="n">
        <v>0.2835</v>
      </c>
      <c r="C10" s="6" t="n">
        <v>484.7</v>
      </c>
      <c r="D10" s="9" t="n">
        <f aca="false">B10*C10</f>
        <v>137.41245</v>
      </c>
      <c r="E10" s="6" t="s">
        <v>10</v>
      </c>
      <c r="F10" s="7" t="s">
        <v>155</v>
      </c>
    </row>
    <row r="11" customFormat="false" ht="15" hidden="false" customHeight="false" outlineLevel="0" collapsed="false">
      <c r="A11" s="18" t="s">
        <v>156</v>
      </c>
      <c r="B11" s="6" t="n">
        <v>0.2835</v>
      </c>
      <c r="C11" s="6" t="n">
        <v>-409.4</v>
      </c>
      <c r="D11" s="9" t="n">
        <f aca="false">B11*C11</f>
        <v>-116.0649</v>
      </c>
      <c r="E11" s="6" t="s">
        <v>10</v>
      </c>
      <c r="F11" s="7" t="s">
        <v>155</v>
      </c>
    </row>
    <row r="12" customFormat="false" ht="23.85" hidden="false" customHeight="false" outlineLevel="0" collapsed="false">
      <c r="A12" s="18" t="s">
        <v>157</v>
      </c>
      <c r="B12" s="6" t="n">
        <v>0.2835</v>
      </c>
      <c r="C12" s="6" t="n">
        <v>-409.4</v>
      </c>
      <c r="D12" s="9" t="n">
        <f aca="false">B12*C12</f>
        <v>-116.0649</v>
      </c>
      <c r="E12" s="6" t="s">
        <v>10</v>
      </c>
      <c r="F12" s="7" t="s">
        <v>155</v>
      </c>
    </row>
    <row r="13" customFormat="false" ht="35.05" hidden="false" customHeight="false" outlineLevel="0" collapsed="false">
      <c r="A13" s="18" t="s">
        <v>158</v>
      </c>
      <c r="B13" s="13" t="n">
        <v>0.097</v>
      </c>
      <c r="C13" s="13" t="n">
        <v>-288</v>
      </c>
      <c r="D13" s="9" t="n">
        <f aca="false">B13*C13</f>
        <v>-27.936</v>
      </c>
      <c r="E13" s="13" t="s">
        <v>102</v>
      </c>
      <c r="F13" s="7" t="s">
        <v>159</v>
      </c>
    </row>
    <row r="14" customFormat="false" ht="15" hidden="false" customHeight="false" outlineLevel="0" collapsed="false">
      <c r="A14" s="18" t="s">
        <v>97</v>
      </c>
      <c r="B14" s="6" t="n">
        <v>0.057</v>
      </c>
      <c r="C14" s="6" t="n">
        <v>0</v>
      </c>
      <c r="D14" s="9" t="n">
        <f aca="false">B14*C14</f>
        <v>0</v>
      </c>
      <c r="E14" s="6" t="s">
        <v>10</v>
      </c>
      <c r="F14" s="7" t="s">
        <v>160</v>
      </c>
    </row>
    <row r="15" customFormat="false" ht="35.05" hidden="false" customHeight="false" outlineLevel="0" collapsed="false">
      <c r="A15" s="18" t="s">
        <v>161</v>
      </c>
      <c r="B15" s="11" t="n">
        <f aca="false">10-(B6+B7+B8+B9+B10+B11+B12+B13+B14)</f>
        <v>4.207</v>
      </c>
      <c r="C15" s="11" t="n">
        <v>-288</v>
      </c>
      <c r="D15" s="9" t="n">
        <f aca="false">B15*C15</f>
        <v>-1211.616</v>
      </c>
      <c r="E15" s="11" t="s">
        <v>55</v>
      </c>
      <c r="F15" s="7" t="s">
        <v>162</v>
      </c>
    </row>
    <row r="16" customFormat="false" ht="15" hidden="false" customHeight="false" outlineLevel="0" collapsed="false">
      <c r="A16" s="14" t="s">
        <v>163</v>
      </c>
      <c r="B16" s="4" t="n">
        <f aca="false">SUM(B6:B15)</f>
        <v>10</v>
      </c>
      <c r="D16" s="4" t="n">
        <f aca="false">SUM(D6:D15)</f>
        <v>417.6211</v>
      </c>
    </row>
    <row r="17" customFormat="false" ht="15" hidden="false" customHeight="false" outlineLevel="0" collapsed="false">
      <c r="A17" s="14" t="s">
        <v>164</v>
      </c>
      <c r="B17" s="19" t="n">
        <f aca="false">D16/B16</f>
        <v>41.76211</v>
      </c>
    </row>
    <row r="18" customFormat="false" ht="15" hidden="false" customHeight="false" outlineLevel="0" collapsed="false">
      <c r="A18" s="15" t="s">
        <v>165</v>
      </c>
    </row>
    <row r="19" customFormat="false" ht="15" hidden="false" customHeight="false" outlineLevel="0" collapsed="false">
      <c r="A19" s="15" t="s">
        <v>166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2" t="s">
        <v>172</v>
      </c>
      <c r="B1" s="12"/>
      <c r="C1" s="12"/>
      <c r="D1" s="12"/>
      <c r="E1" s="12"/>
    </row>
    <row r="3" customFormat="false" ht="15" hidden="false" customHeight="false" outlineLevel="0" collapsed="false">
      <c r="A3" s="3" t="s">
        <v>173</v>
      </c>
      <c r="B3" s="3" t="s">
        <v>174</v>
      </c>
      <c r="C3" s="3" t="s">
        <v>4</v>
      </c>
      <c r="D3" s="3" t="s">
        <v>175</v>
      </c>
      <c r="E3" s="3" t="s">
        <v>176</v>
      </c>
      <c r="F3" s="3" t="s">
        <v>7</v>
      </c>
    </row>
    <row r="4" customFormat="false" ht="23.85" hidden="false" customHeight="false" outlineLevel="0" collapsed="false">
      <c r="A4" s="18" t="s">
        <v>177</v>
      </c>
      <c r="B4" s="5" t="s">
        <v>178</v>
      </c>
      <c r="C4" s="6" t="s">
        <v>179</v>
      </c>
      <c r="D4" s="7" t="s">
        <v>180</v>
      </c>
      <c r="E4" s="9" t="s">
        <v>181</v>
      </c>
      <c r="F4" s="8" t="s">
        <v>72</v>
      </c>
    </row>
    <row r="5" customFormat="false" ht="23.85" hidden="false" customHeight="false" outlineLevel="0" collapsed="false">
      <c r="A5" s="18" t="s">
        <v>182</v>
      </c>
      <c r="B5" s="5" t="s">
        <v>183</v>
      </c>
      <c r="C5" s="6" t="s">
        <v>184</v>
      </c>
      <c r="D5" s="7" t="s">
        <v>185</v>
      </c>
      <c r="E5" s="9" t="s">
        <v>181</v>
      </c>
      <c r="F5" s="8" t="s">
        <v>72</v>
      </c>
    </row>
    <row r="6" customFormat="false" ht="23.85" hidden="false" customHeight="false" outlineLevel="0" collapsed="false">
      <c r="A6" s="18" t="s">
        <v>186</v>
      </c>
      <c r="B6" s="5" t="s">
        <v>187</v>
      </c>
      <c r="C6" s="6" t="s">
        <v>184</v>
      </c>
      <c r="D6" s="7" t="s">
        <v>185</v>
      </c>
      <c r="E6" s="9" t="s">
        <v>181</v>
      </c>
      <c r="F6" s="8" t="s">
        <v>72</v>
      </c>
    </row>
    <row r="7" customFormat="false" ht="23.85" hidden="false" customHeight="false" outlineLevel="0" collapsed="false">
      <c r="A7" s="18" t="s">
        <v>188</v>
      </c>
      <c r="B7" s="5" t="s">
        <v>189</v>
      </c>
      <c r="C7" s="6" t="s">
        <v>184</v>
      </c>
      <c r="D7" s="7" t="s">
        <v>185</v>
      </c>
      <c r="E7" s="9" t="s">
        <v>181</v>
      </c>
      <c r="F7" s="8" t="s">
        <v>72</v>
      </c>
    </row>
    <row r="8" customFormat="false" ht="15" hidden="false" customHeight="false" outlineLevel="0" collapsed="false">
      <c r="A8" s="18" t="s">
        <v>190</v>
      </c>
      <c r="B8" s="5" t="s">
        <v>191</v>
      </c>
      <c r="C8" s="6" t="s">
        <v>184</v>
      </c>
      <c r="D8" s="7" t="s">
        <v>185</v>
      </c>
      <c r="E8" s="9" t="s">
        <v>181</v>
      </c>
      <c r="F8" s="8" t="s">
        <v>72</v>
      </c>
    </row>
    <row r="9" customFormat="false" ht="46.25" hidden="false" customHeight="false" outlineLevel="0" collapsed="false">
      <c r="A9" s="18" t="s">
        <v>192</v>
      </c>
      <c r="B9" s="5" t="s">
        <v>193</v>
      </c>
      <c r="C9" s="6" t="s">
        <v>184</v>
      </c>
      <c r="D9" s="7" t="s">
        <v>194</v>
      </c>
      <c r="E9" s="9" t="s">
        <v>181</v>
      </c>
      <c r="F9" s="9"/>
    </row>
    <row r="10" customFormat="false" ht="35.05" hidden="false" customHeight="false" outlineLevel="0" collapsed="false">
      <c r="A10" s="18" t="s">
        <v>195</v>
      </c>
      <c r="B10" s="5" t="s">
        <v>196</v>
      </c>
      <c r="C10" s="6" t="s">
        <v>184</v>
      </c>
      <c r="D10" s="7" t="s">
        <v>185</v>
      </c>
      <c r="E10" s="9" t="s">
        <v>181</v>
      </c>
      <c r="F10" s="9"/>
    </row>
    <row r="11" customFormat="false" ht="35.05" hidden="false" customHeight="false" outlineLevel="0" collapsed="false">
      <c r="A11" s="18" t="s">
        <v>197</v>
      </c>
      <c r="B11" s="10" t="s">
        <v>198</v>
      </c>
      <c r="C11" s="11" t="s">
        <v>199</v>
      </c>
      <c r="D11" s="7" t="s">
        <v>200</v>
      </c>
      <c r="E11" s="9" t="s">
        <v>181</v>
      </c>
      <c r="F11" s="9"/>
    </row>
    <row r="12" customFormat="false" ht="23.85" hidden="false" customHeight="false" outlineLevel="0" collapsed="false">
      <c r="A12" s="18" t="s">
        <v>201</v>
      </c>
      <c r="B12" s="10" t="s">
        <v>202</v>
      </c>
      <c r="C12" s="11" t="s">
        <v>199</v>
      </c>
      <c r="D12" s="7" t="s">
        <v>203</v>
      </c>
      <c r="E12" s="9" t="s">
        <v>181</v>
      </c>
      <c r="F12" s="9"/>
    </row>
    <row r="13" customFormat="false" ht="23.85" hidden="false" customHeight="false" outlineLevel="0" collapsed="false">
      <c r="A13" s="18" t="s">
        <v>204</v>
      </c>
      <c r="B13" s="5" t="s">
        <v>205</v>
      </c>
      <c r="C13" s="6" t="s">
        <v>184</v>
      </c>
      <c r="D13" s="7" t="s">
        <v>206</v>
      </c>
      <c r="E13" s="9" t="s">
        <v>181</v>
      </c>
      <c r="F13" s="9"/>
    </row>
    <row r="14" customFormat="false" ht="35.05" hidden="false" customHeight="false" outlineLevel="0" collapsed="false">
      <c r="A14" s="18" t="s">
        <v>207</v>
      </c>
      <c r="B14" s="20" t="s">
        <v>208</v>
      </c>
      <c r="C14" s="13" t="s">
        <v>209</v>
      </c>
      <c r="D14" s="7" t="s">
        <v>210</v>
      </c>
      <c r="E14" s="9" t="s">
        <v>181</v>
      </c>
      <c r="F14" s="9"/>
    </row>
    <row r="15" customFormat="false" ht="23.85" hidden="false" customHeight="false" outlineLevel="0" collapsed="false">
      <c r="A15" s="18" t="s">
        <v>211</v>
      </c>
      <c r="B15" s="20" t="s">
        <v>212</v>
      </c>
      <c r="C15" s="13" t="s">
        <v>209</v>
      </c>
      <c r="D15" s="7" t="s">
        <v>213</v>
      </c>
      <c r="E15" s="9" t="s">
        <v>214</v>
      </c>
      <c r="F15" s="9"/>
    </row>
    <row r="16" customFormat="false" ht="23.85" hidden="false" customHeight="false" outlineLevel="0" collapsed="false">
      <c r="A16" s="18" t="s">
        <v>215</v>
      </c>
      <c r="B16" s="20" t="s">
        <v>216</v>
      </c>
      <c r="C16" s="13" t="s">
        <v>209</v>
      </c>
      <c r="D16" s="7" t="s">
        <v>217</v>
      </c>
      <c r="E16" s="9" t="s">
        <v>214</v>
      </c>
      <c r="F16" s="9"/>
    </row>
  </sheetData>
  <mergeCells count="1">
    <mergeCell ref="A1:E1"/>
  </mergeCells>
  <hyperlinks>
    <hyperlink ref="F4" r:id="rId1" display="View"/>
    <hyperlink ref="F5" r:id="rId2" display="View"/>
    <hyperlink ref="F6" r:id="rId3" display="View"/>
    <hyperlink ref="F7" r:id="rId4" display="View"/>
    <hyperlink ref="F8" r:id="rId5" display="Vi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218</v>
      </c>
    </row>
    <row r="3" customFormat="false" ht="15" hidden="false" customHeight="false" outlineLevel="0" collapsed="false">
      <c r="A3" s="21"/>
    </row>
    <row r="4" customFormat="false" ht="15" hidden="false" customHeight="false" outlineLevel="0" collapsed="false">
      <c r="A4" s="21" t="s">
        <v>219</v>
      </c>
    </row>
    <row r="5" customFormat="false" ht="15" hidden="false" customHeight="false" outlineLevel="0" collapsed="false">
      <c r="A5" s="21"/>
    </row>
    <row r="6" customFormat="false" ht="15" hidden="false" customHeight="false" outlineLevel="0" collapsed="false">
      <c r="A6" s="21" t="s">
        <v>220</v>
      </c>
    </row>
    <row r="7" customFormat="false" ht="15" hidden="false" customHeight="false" outlineLevel="0" collapsed="false">
      <c r="A7" s="21" t="s">
        <v>221</v>
      </c>
    </row>
    <row r="8" customFormat="false" ht="15" hidden="false" customHeight="false" outlineLevel="0" collapsed="false">
      <c r="A8" s="21" t="s">
        <v>222</v>
      </c>
    </row>
    <row r="9" customFormat="false" ht="15" hidden="false" customHeight="false" outlineLevel="0" collapsed="false">
      <c r="A9" s="21" t="s">
        <v>223</v>
      </c>
    </row>
    <row r="10" customFormat="false" ht="15" hidden="false" customHeight="false" outlineLevel="0" collapsed="false">
      <c r="A10" s="21"/>
    </row>
    <row r="11" customFormat="false" ht="15" hidden="false" customHeight="false" outlineLevel="0" collapsed="false">
      <c r="A11" s="21" t="s">
        <v>224</v>
      </c>
    </row>
    <row r="12" customFormat="false" ht="15" hidden="false" customHeight="false" outlineLevel="0" collapsed="false">
      <c r="A12" s="21" t="s">
        <v>225</v>
      </c>
    </row>
    <row r="13" customFormat="false" ht="15" hidden="false" customHeight="false" outlineLevel="0" collapsed="false">
      <c r="A13" s="21" t="s">
        <v>226</v>
      </c>
    </row>
    <row r="14" customFormat="false" ht="15" hidden="false" customHeight="false" outlineLevel="0" collapsed="false">
      <c r="A14" s="21" t="s">
        <v>227</v>
      </c>
    </row>
    <row r="15" customFormat="false" ht="15" hidden="false" customHeight="false" outlineLevel="0" collapsed="false">
      <c r="A15" s="21" t="s">
        <v>228</v>
      </c>
    </row>
    <row r="16" customFormat="false" ht="15" hidden="false" customHeight="false" outlineLevel="0" collapsed="false">
      <c r="A16" s="21" t="s">
        <v>229</v>
      </c>
    </row>
    <row r="17" customFormat="false" ht="15" hidden="false" customHeight="false" outlineLevel="0" collapsed="false">
      <c r="A17" s="21"/>
    </row>
    <row r="18" customFormat="false" ht="15" hidden="false" customHeight="false" outlineLevel="0" collapsed="false">
      <c r="A18" s="21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2026-10-07T16:59:15Z</dcterms:created>
  <dc:creator>openpyxl</dc:creator>
  <dc:description/>
  <dc:language>en-US</dc:language>
  <cp:lastModifiedBy/>
  <dcterms:modified xsi:type="dcterms:W3CDTF">2026-10-07T16:59:15Z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